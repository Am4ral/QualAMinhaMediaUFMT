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<sst xmlns="http://schemas.openxmlformats.org/spreadsheetml/2006/main" count="61" uniqueCount="30">
  <si>
    <t>Os pesos listados pela profa. Adriana na apresentação do semestre NÃO correspondem ao que foi lançado no portal de sistemas. Aqui estão os pesos conforme lançados.</t>
  </si>
  <si>
    <t>Turma 74 - UC3 em 2025/1</t>
  </si>
  <si>
    <r>
      <rPr>
        <rFont val="Arial"/>
        <b/>
        <i/>
        <color rgb="FFFF29A0"/>
        <sz val="11.0"/>
      </rPr>
      <t xml:space="preserve">por bianca drehmer </t>
    </r>
    <r>
      <rPr>
        <rFont val="Arial"/>
        <b/>
        <color rgb="FFFF29A0"/>
        <sz val="11.0"/>
      </rPr>
      <t>💋</t>
    </r>
  </si>
  <si>
    <t>Bases de Agressão e Defesa</t>
  </si>
  <si>
    <t>Saúde do Adulto I</t>
  </si>
  <si>
    <t>Matéria</t>
  </si>
  <si>
    <t>Peso</t>
  </si>
  <si>
    <t>Nota</t>
  </si>
  <si>
    <t>Nota correspondente</t>
  </si>
  <si>
    <t>Componente</t>
  </si>
  <si>
    <t>Parasitologia</t>
  </si>
  <si>
    <t>Tutorias</t>
  </si>
  <si>
    <t>Virologia</t>
  </si>
  <si>
    <t>Prova de módulo</t>
  </si>
  <si>
    <t>Imunologia</t>
  </si>
  <si>
    <t>Seminário</t>
  </si>
  <si>
    <t>Patologia</t>
  </si>
  <si>
    <t>Prova de OSCE</t>
  </si>
  <si>
    <t>Microbiologia</t>
  </si>
  <si>
    <t>Presença nas práticas</t>
  </si>
  <si>
    <t>Nota final</t>
  </si>
  <si>
    <t>*** o 0,5 extra de presença em todas as monitorias foi aplicado, aparentemente, na nota da prova de OSCE. supondo que você tirou 8,0 na prova de OSCE e foi em todas as monitorias, sua nota final é 8,5 NA PROVA DE OSCE.</t>
  </si>
  <si>
    <t>Saúde da Mulher I</t>
  </si>
  <si>
    <t>Saúde da Criança I</t>
  </si>
  <si>
    <t>Prova "prática"</t>
  </si>
  <si>
    <t>Psicologia médica</t>
  </si>
  <si>
    <t>Caso você não saiba usar a planilha: coloque a nota que tirou no componente no campo "NOTA", NUMA ESCALA DE 1 A 10, com os decimais separados por vírgula (se você tirou 8,5, coloque exatamente 8,5, e não 85 ou 0,85)</t>
  </si>
  <si>
    <t>Exemplo de preenchimento:</t>
  </si>
  <si>
    <t>EXEMPLO B.A.D.</t>
  </si>
  <si>
    <t>(essa seria sua nota em B.A.D.)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</si>
</sst>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i/>
      <color theme="1"/>
      <name val="Arial"/>
      <scheme val="minor"/>
    </font>
    <font>
      <b/>
      <sz val="15.0"/>
      <color theme="1"/>
      <name val="Arial"/>
      <scheme val="minor"/>
    </font>
    <font>
      <b/>
      <sz val="11.0"/>
      <color rgb="FFFF29A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sz val="8.0"/>
      <color theme="1"/>
      <name val="Arial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5" fillId="2" fontId="6" numFmtId="0" xfId="0" applyAlignment="1" applyBorder="1" applyFont="1">
      <alignment horizontal="center" readingOrder="0"/>
    </xf>
    <xf borderId="4" fillId="2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5" fillId="0" fontId="6" numFmtId="4" xfId="0" applyBorder="1" applyFont="1" applyNumberFormat="1"/>
    <xf borderId="0" fillId="0" fontId="6" numFmtId="4" xfId="0" applyFont="1" applyNumberFormat="1"/>
    <xf borderId="6" fillId="0" fontId="6" numFmtId="0" xfId="0" applyBorder="1" applyFont="1"/>
    <xf borderId="7" fillId="0" fontId="6" numFmtId="0" xfId="0" applyBorder="1" applyFont="1"/>
    <xf borderId="7" fillId="2" fontId="6" numFmtId="0" xfId="0" applyAlignment="1" applyBorder="1" applyFont="1">
      <alignment horizontal="right" readingOrder="0"/>
    </xf>
    <xf borderId="8" fillId="0" fontId="6" numFmtId="4" xfId="0" applyBorder="1" applyFont="1" applyNumberFormat="1"/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wrapText="1"/>
    </xf>
    <xf borderId="10" fillId="0" fontId="5" numFmtId="0" xfId="0" applyBorder="1" applyFont="1"/>
    <xf borderId="0" fillId="3" fontId="6" numFmtId="4" xfId="0" applyAlignment="1" applyFill="1" applyFont="1" applyNumberFormat="1">
      <alignment readingOrder="0"/>
    </xf>
    <xf borderId="8" fillId="4" fontId="6" numFmtId="4" xfId="0" applyBorder="1" applyFill="1" applyFont="1" applyNumberForma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4" width="9.88"/>
    <col customWidth="1" min="5" max="5" width="17.38"/>
    <col customWidth="1" min="8" max="8" width="17.5"/>
    <col customWidth="1" min="9" max="9" width="9.38"/>
    <col customWidth="1" min="10" max="10" width="9.63"/>
    <col customWidth="1" min="11" max="11" width="18.0"/>
  </cols>
  <sheetData>
    <row r="1">
      <c r="A1" s="1" t="s">
        <v>0</v>
      </c>
    </row>
    <row r="2">
      <c r="E2" s="2" t="s">
        <v>1</v>
      </c>
    </row>
    <row r="3">
      <c r="H3" s="3" t="s">
        <v>2</v>
      </c>
      <c r="J3" s="3"/>
    </row>
    <row r="7">
      <c r="B7" s="4" t="s">
        <v>3</v>
      </c>
      <c r="C7" s="5"/>
      <c r="D7" s="5"/>
      <c r="E7" s="6"/>
      <c r="H7" s="4" t="s">
        <v>4</v>
      </c>
      <c r="I7" s="5"/>
      <c r="J7" s="5"/>
      <c r="K7" s="6"/>
    </row>
    <row r="8">
      <c r="B8" s="7" t="s">
        <v>5</v>
      </c>
      <c r="C8" s="8" t="s">
        <v>6</v>
      </c>
      <c r="D8" s="8" t="s">
        <v>7</v>
      </c>
      <c r="E8" s="9" t="s">
        <v>8</v>
      </c>
      <c r="H8" s="7" t="s">
        <v>9</v>
      </c>
      <c r="I8" s="8" t="s">
        <v>6</v>
      </c>
      <c r="J8" s="8" t="s">
        <v>7</v>
      </c>
      <c r="K8" s="9" t="s">
        <v>8</v>
      </c>
    </row>
    <row r="9">
      <c r="B9" s="10" t="s">
        <v>10</v>
      </c>
      <c r="C9" s="11">
        <v>0.225</v>
      </c>
      <c r="D9" s="12"/>
      <c r="E9" s="13">
        <f t="shared" ref="E9:E13" si="1">PRODUCT(C9,D9)</f>
        <v>0.225</v>
      </c>
      <c r="H9" s="10" t="s">
        <v>11</v>
      </c>
      <c r="I9" s="11">
        <v>0.25</v>
      </c>
      <c r="J9" s="14"/>
      <c r="K9" s="13">
        <f t="shared" ref="K9:K13" si="2">PRODUCT(I9,J9)</f>
        <v>0.25</v>
      </c>
    </row>
    <row r="10">
      <c r="B10" s="10" t="s">
        <v>12</v>
      </c>
      <c r="C10" s="11">
        <v>0.1</v>
      </c>
      <c r="D10" s="12"/>
      <c r="E10" s="13">
        <f t="shared" si="1"/>
        <v>0.1</v>
      </c>
      <c r="H10" s="10" t="s">
        <v>13</v>
      </c>
      <c r="I10" s="11">
        <v>0.4</v>
      </c>
      <c r="J10" s="14"/>
      <c r="K10" s="13">
        <f t="shared" si="2"/>
        <v>0.4</v>
      </c>
    </row>
    <row r="11">
      <c r="B11" s="10" t="s">
        <v>14</v>
      </c>
      <c r="C11" s="11">
        <v>0.225</v>
      </c>
      <c r="D11" s="12"/>
      <c r="E11" s="13">
        <f t="shared" si="1"/>
        <v>0.225</v>
      </c>
      <c r="H11" s="10" t="s">
        <v>15</v>
      </c>
      <c r="I11" s="11">
        <v>0.1</v>
      </c>
      <c r="J11" s="14"/>
      <c r="K11" s="13">
        <f t="shared" si="2"/>
        <v>0.1</v>
      </c>
    </row>
    <row r="12">
      <c r="B12" s="10" t="s">
        <v>16</v>
      </c>
      <c r="C12" s="11">
        <v>0.225</v>
      </c>
      <c r="D12" s="12"/>
      <c r="E12" s="13">
        <f t="shared" si="1"/>
        <v>0.225</v>
      </c>
      <c r="H12" s="10" t="s">
        <v>17</v>
      </c>
      <c r="I12" s="11">
        <v>0.15</v>
      </c>
      <c r="J12" s="14"/>
      <c r="K12" s="13">
        <f t="shared" si="2"/>
        <v>0.15</v>
      </c>
    </row>
    <row r="13">
      <c r="B13" s="10" t="s">
        <v>18</v>
      </c>
      <c r="C13" s="11">
        <v>0.225</v>
      </c>
      <c r="D13" s="12"/>
      <c r="E13" s="13">
        <f t="shared" si="1"/>
        <v>0.225</v>
      </c>
      <c r="H13" s="10" t="s">
        <v>19</v>
      </c>
      <c r="I13" s="11">
        <v>0.1</v>
      </c>
      <c r="J13" s="14"/>
      <c r="K13" s="13">
        <f t="shared" si="2"/>
        <v>0.1</v>
      </c>
    </row>
    <row r="14">
      <c r="B14" s="15"/>
      <c r="C14" s="16"/>
      <c r="D14" s="17" t="s">
        <v>20</v>
      </c>
      <c r="E14" s="18">
        <f>SUM(E9,E10,E11,E12,E13)</f>
        <v>1</v>
      </c>
      <c r="H14" s="15"/>
      <c r="I14" s="16"/>
      <c r="J14" s="17" t="s">
        <v>20</v>
      </c>
      <c r="K14" s="18">
        <f>SUM(K9,K10,K11,K12,K13)</f>
        <v>1</v>
      </c>
    </row>
    <row r="15">
      <c r="J15" s="19" t="s">
        <v>21</v>
      </c>
      <c r="N15" s="19"/>
    </row>
    <row r="16">
      <c r="N16" s="19"/>
    </row>
    <row r="18">
      <c r="B18" s="4" t="s">
        <v>22</v>
      </c>
      <c r="C18" s="5"/>
      <c r="D18" s="5"/>
      <c r="E18" s="6"/>
      <c r="H18" s="4" t="s">
        <v>23</v>
      </c>
      <c r="I18" s="5"/>
      <c r="J18" s="5"/>
      <c r="K18" s="6"/>
    </row>
    <row r="19">
      <c r="B19" s="7" t="s">
        <v>9</v>
      </c>
      <c r="C19" s="8" t="s">
        <v>6</v>
      </c>
      <c r="D19" s="8" t="s">
        <v>7</v>
      </c>
      <c r="E19" s="9" t="s">
        <v>8</v>
      </c>
      <c r="H19" s="7" t="s">
        <v>9</v>
      </c>
      <c r="I19" s="8" t="s">
        <v>6</v>
      </c>
      <c r="J19" s="8" t="s">
        <v>7</v>
      </c>
      <c r="K19" s="9" t="s">
        <v>8</v>
      </c>
    </row>
    <row r="20">
      <c r="B20" s="10" t="s">
        <v>11</v>
      </c>
      <c r="C20" s="11">
        <v>0.25</v>
      </c>
      <c r="D20" s="14"/>
      <c r="E20" s="13">
        <f t="shared" ref="E20:E24" si="3">PRODUCT(C20,D20)</f>
        <v>0.25</v>
      </c>
      <c r="H20" s="10" t="s">
        <v>11</v>
      </c>
      <c r="I20" s="11">
        <v>0.45</v>
      </c>
      <c r="J20" s="14"/>
      <c r="K20" s="13">
        <f t="shared" ref="K20:K23" si="4">PRODUCT(I20,J20)</f>
        <v>0.45</v>
      </c>
    </row>
    <row r="21">
      <c r="B21" s="10" t="s">
        <v>13</v>
      </c>
      <c r="C21" s="11">
        <v>0.4</v>
      </c>
      <c r="D21" s="14"/>
      <c r="E21" s="13">
        <f t="shared" si="3"/>
        <v>0.4</v>
      </c>
      <c r="H21" s="10" t="s">
        <v>13</v>
      </c>
      <c r="I21" s="11">
        <v>0.4</v>
      </c>
      <c r="J21" s="14"/>
      <c r="K21" s="13">
        <f t="shared" si="4"/>
        <v>0.4</v>
      </c>
    </row>
    <row r="22">
      <c r="B22" s="10" t="s">
        <v>24</v>
      </c>
      <c r="C22" s="11">
        <v>0.2</v>
      </c>
      <c r="D22" s="14"/>
      <c r="E22" s="13">
        <f t="shared" si="3"/>
        <v>0.2</v>
      </c>
      <c r="H22" s="10" t="s">
        <v>25</v>
      </c>
      <c r="I22" s="11">
        <v>0.05</v>
      </c>
      <c r="J22" s="14"/>
      <c r="K22" s="13">
        <f t="shared" si="4"/>
        <v>0.05</v>
      </c>
    </row>
    <row r="23">
      <c r="B23" s="10" t="s">
        <v>25</v>
      </c>
      <c r="C23" s="11">
        <v>0.05</v>
      </c>
      <c r="D23" s="14"/>
      <c r="E23" s="13">
        <f t="shared" si="3"/>
        <v>0.05</v>
      </c>
      <c r="H23" s="10" t="s">
        <v>15</v>
      </c>
      <c r="I23" s="11">
        <v>0.1</v>
      </c>
      <c r="J23" s="14"/>
      <c r="K23" s="13">
        <f t="shared" si="4"/>
        <v>0.1</v>
      </c>
    </row>
    <row r="24">
      <c r="B24" s="10" t="s">
        <v>15</v>
      </c>
      <c r="C24" s="11">
        <v>0.1</v>
      </c>
      <c r="D24" s="14"/>
      <c r="E24" s="13">
        <f t="shared" si="3"/>
        <v>0.1</v>
      </c>
      <c r="H24" s="15"/>
      <c r="I24" s="16"/>
      <c r="J24" s="17" t="s">
        <v>20</v>
      </c>
      <c r="K24" s="18">
        <f>SUM(K20,K21,K22,K23)</f>
        <v>1</v>
      </c>
    </row>
    <row r="25">
      <c r="B25" s="15"/>
      <c r="C25" s="16"/>
      <c r="D25" s="17" t="s">
        <v>20</v>
      </c>
      <c r="E25" s="18">
        <f>SUM(E20,E21,E22,E23,E24)</f>
        <v>1</v>
      </c>
    </row>
    <row r="28">
      <c r="A28" s="1"/>
      <c r="B28" s="20" t="s">
        <v>26</v>
      </c>
    </row>
    <row r="29">
      <c r="A29" s="1"/>
    </row>
    <row r="30">
      <c r="A30" s="1"/>
    </row>
    <row r="31">
      <c r="A31" s="1"/>
    </row>
    <row r="32">
      <c r="A32" s="1"/>
    </row>
    <row r="33">
      <c r="A33" s="1"/>
      <c r="B33" s="20"/>
      <c r="C33" s="20"/>
      <c r="D33" s="20"/>
      <c r="E33" s="20"/>
    </row>
    <row r="34">
      <c r="B34" s="1"/>
      <c r="C34" s="21" t="s">
        <v>27</v>
      </c>
      <c r="D34" s="22"/>
      <c r="E34" s="1"/>
    </row>
    <row r="35">
      <c r="B35" s="4" t="s">
        <v>28</v>
      </c>
      <c r="C35" s="5"/>
      <c r="D35" s="5"/>
      <c r="E35" s="6"/>
    </row>
    <row r="36">
      <c r="B36" s="7" t="s">
        <v>5</v>
      </c>
      <c r="C36" s="8" t="s">
        <v>6</v>
      </c>
      <c r="D36" s="8" t="s">
        <v>7</v>
      </c>
      <c r="E36" s="9" t="s">
        <v>8</v>
      </c>
    </row>
    <row r="37">
      <c r="B37" s="10" t="s">
        <v>10</v>
      </c>
      <c r="C37" s="11">
        <v>0.225</v>
      </c>
      <c r="D37" s="23">
        <v>9.75</v>
      </c>
      <c r="E37" s="13">
        <f t="shared" ref="E37:E41" si="5">PRODUCT(C37,D37)</f>
        <v>2.19375</v>
      </c>
    </row>
    <row r="38">
      <c r="B38" s="10" t="s">
        <v>12</v>
      </c>
      <c r="C38" s="11">
        <v>0.1</v>
      </c>
      <c r="D38" s="23">
        <v>7.4</v>
      </c>
      <c r="E38" s="13">
        <f t="shared" si="5"/>
        <v>0.74</v>
      </c>
    </row>
    <row r="39">
      <c r="B39" s="10" t="s">
        <v>14</v>
      </c>
      <c r="C39" s="11">
        <v>0.225</v>
      </c>
      <c r="D39" s="23">
        <v>9.58</v>
      </c>
      <c r="E39" s="13">
        <f t="shared" si="5"/>
        <v>2.1555</v>
      </c>
    </row>
    <row r="40">
      <c r="B40" s="10" t="s">
        <v>16</v>
      </c>
      <c r="C40" s="11">
        <v>0.225</v>
      </c>
      <c r="D40" s="23">
        <v>9.5</v>
      </c>
      <c r="E40" s="13">
        <f t="shared" si="5"/>
        <v>2.1375</v>
      </c>
    </row>
    <row r="41">
      <c r="B41" s="10" t="s">
        <v>18</v>
      </c>
      <c r="C41" s="11">
        <v>0.225</v>
      </c>
      <c r="D41" s="23">
        <v>9.2</v>
      </c>
      <c r="E41" s="13">
        <f t="shared" si="5"/>
        <v>2.07</v>
      </c>
    </row>
    <row r="42">
      <c r="B42" s="15"/>
      <c r="C42" s="16"/>
      <c r="D42" s="17" t="s">
        <v>20</v>
      </c>
      <c r="E42" s="24">
        <f>SUM(E37,E38,E39,E40,E41)</f>
        <v>9.29675</v>
      </c>
      <c r="F42" s="25" t="s">
        <v>29</v>
      </c>
    </row>
  </sheetData>
  <mergeCells count="12">
    <mergeCell ref="B18:E18"/>
    <mergeCell ref="B28:E32"/>
    <mergeCell ref="C34:D34"/>
    <mergeCell ref="B35:E35"/>
    <mergeCell ref="F42:G42"/>
    <mergeCell ref="A1:C4"/>
    <mergeCell ref="E2:G3"/>
    <mergeCell ref="H3:I3"/>
    <mergeCell ref="B7:E7"/>
    <mergeCell ref="H7:K7"/>
    <mergeCell ref="J15:M16"/>
    <mergeCell ref="H18:K18"/>
  </mergeCells>
  <drawing r:id="rId1"/>
</worksheet>
</file>